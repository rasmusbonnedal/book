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HOME\GIT\book\tools\"/>
    </mc:Choice>
  </mc:AlternateContent>
  <xr:revisionPtr revIDLastSave="0" documentId="13_ncr:1_{F231E909-EF32-4740-920A-75A8FE295FD1}" xr6:coauthVersionLast="47" xr6:coauthVersionMax="47" xr10:uidLastSave="{00000000-0000-0000-0000-000000000000}"/>
  <bookViews>
    <workbookView xWindow="550" yWindow="1110" windowWidth="14080" windowHeight="15690" xr2:uid="{00000000-000D-0000-FFFF-FFFF00000000}"/>
  </bookViews>
  <sheets>
    <sheet name="MyrPay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4" l="1"/>
  <c r="F9" i="24"/>
  <c r="F10" i="24"/>
  <c r="F11" i="24"/>
  <c r="F12" i="24"/>
  <c r="F13" i="24"/>
  <c r="F14" i="24"/>
  <c r="F15" i="24"/>
  <c r="F16" i="24"/>
  <c r="F7" i="24"/>
  <c r="B3" i="24"/>
  <c r="B14" i="24" s="1"/>
  <c r="C14" i="24" s="1"/>
  <c r="D14" i="24" s="1"/>
  <c r="B16" i="24" l="1"/>
  <c r="B10" i="24"/>
  <c r="C10" i="24" s="1"/>
  <c r="D10" i="24" s="1"/>
  <c r="B11" i="24"/>
  <c r="B7" i="24"/>
  <c r="C7" i="24" s="1"/>
  <c r="D7" i="24" s="1"/>
  <c r="B8" i="24"/>
  <c r="C8" i="24" s="1"/>
  <c r="D8" i="24" s="1"/>
  <c r="B9" i="24"/>
  <c r="C9" i="24" s="1"/>
  <c r="D9" i="24" s="1"/>
  <c r="B12" i="24"/>
  <c r="B15" i="24"/>
  <c r="B17" i="24"/>
  <c r="C17" i="24" s="1"/>
  <c r="D17" i="24" s="1"/>
  <c r="B18" i="24"/>
  <c r="C18" i="24" s="1"/>
  <c r="D18" i="24" s="1"/>
  <c r="B13" i="24"/>
  <c r="C13" i="24" s="1"/>
  <c r="D13" i="24" s="1"/>
  <c r="C15" i="24" l="1"/>
  <c r="D15" i="24" s="1"/>
  <c r="C12" i="24"/>
  <c r="D12" i="24" s="1"/>
  <c r="C11" i="24"/>
  <c r="D11" i="24" s="1"/>
  <c r="C16" i="24"/>
  <c r="D16" i="24" s="1"/>
</calcChain>
</file>

<file path=xl/sharedStrings.xml><?xml version="1.0" encoding="utf-8"?>
<sst xmlns="http://schemas.openxmlformats.org/spreadsheetml/2006/main" count="26" uniqueCount="25">
  <si>
    <t>Milersättning</t>
  </si>
  <si>
    <t>År</t>
  </si>
  <si>
    <t>Månadslön</t>
  </si>
  <si>
    <t>Skatt</t>
  </si>
  <si>
    <t>Lön</t>
  </si>
  <si>
    <t>Traktamente</t>
  </si>
  <si>
    <t>Avdrag</t>
  </si>
  <si>
    <t>VAB</t>
  </si>
  <si>
    <t>Skatt (tabell 32)</t>
  </si>
  <si>
    <t>Månad</t>
  </si>
  <si>
    <t>Timmar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</si>
  <si>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</si>
  <si>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</si>
  <si>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</si>
  <si>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</si>
  <si>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</si>
  <si>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</si>
  <si>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</si>
  <si>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</si>
  <si>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</si>
  <si>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</si>
  <si>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</si>
  <si>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</si>
  <si>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Bilförmån</t>
  </si>
  <si>
    <t>Nettolöneavdrag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</si>
</sst>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kr&quot;"/>
    <numFmt numFmtId="165" formatCode="#,##0\ &quot;kr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902A-3EA2-438D-A129-453FE7BE0CD9}">
  <dimension ref="A1:H38"/>
  <sheetViews>
    <sheetView tabSelected="1" workbookViewId="0">
      <selection activeCell="A19" sqref="A19"/>
    </sheetView>
  </sheetViews>
  <sheetFormatPr defaultRowHeight="14.5" x14ac:dyDescent="0.35"/>
  <cols>
    <col min="1" max="1" width="13.81640625" bestFit="1" customWidth="1"/>
    <col min="2" max="2" width="11.81640625" bestFit="1" customWidth="1"/>
    <col min="3" max="3" width="12.453125" customWidth="1"/>
    <col min="4" max="4" width="12.26953125" customWidth="1"/>
    <col min="5" max="6" width="10.08984375" bestFit="1" customWidth="1"/>
  </cols>
  <sheetData>
    <row r="1" spans="1:8" x14ac:dyDescent="0.35">
      <c r="A1" t="s">
        <v>1</v>
      </c>
      <c r="B1">
        <v>2025</v>
      </c>
    </row>
    <row r="2" spans="1:8" x14ac:dyDescent="0.35">
      <c r="A2" t="s">
        <v>4</v>
      </c>
      <c r="B2" s="2">
        <v>400000</v>
      </c>
    </row>
    <row r="3" spans="1:8" x14ac:dyDescent="0.35">
      <c r="A3" t="s">
        <v>2</v>
      </c>
      <c r="B3" s="2">
        <f>ROUNDUP(B2/12,0)</f>
        <v>33334</v>
      </c>
    </row>
    <row r="4" spans="1:8" x14ac:dyDescent="0.35">
      <c r="A4" t="s">
        <v>8</v>
      </c>
      <c r="B4" s="2">
        <v>-6829</v>
      </c>
    </row>
    <row r="6" spans="1:8" x14ac:dyDescent="0.35">
      <c r="A6" t="s">
        <v>9</v>
      </c>
      <c r="B6" t="s">
        <v>4</v>
      </c>
      <c r="C6" t="s">
        <v>6</v>
      </c>
      <c r="D6" t="s">
        <v>3</v>
      </c>
      <c r="E6" t="s">
        <v>23</v>
      </c>
      <c r="F6" t="s">
        <v>24</v>
      </c>
      <c r="G6" t="s">
        <v>5</v>
      </c>
      <c r="H6" t="s">
        <v>0</v>
      </c>
    </row>
    <row r="7" spans="1:8" x14ac:dyDescent="0.35">
      <c r="A7" t="s">
        <v>11</v>
      </c>
      <c r="B7" s="2">
        <f t="shared" ref="B7:B18" si="0">$B$3</f>
        <v>33334</v>
      </c>
      <c r="C7" s="3">
        <f t="shared" ref="C7:C18" si="1">-B7/175*SUMIFS(B$21:B$41,A$21:A$41,"&gt;="&amp;EDATE(DATEVALUE("1 "&amp;A7),-1),A$21:A$41,"&lt;="&amp;EOMONTH(DATEVALUE("1 "&amp;A7),-1))</f>
        <v>0</v>
      </c>
      <c r="D7" s="3">
        <f t="shared" ref="D7:D18" si="2">(B7+C7)*B$4/B$3</f>
        <v>-6829</v>
      </c>
      <c r="E7" s="2">
        <v>5857</v>
      </c>
      <c r="F7" s="2">
        <f>-5857</f>
        <v>-5857</v>
      </c>
    </row>
    <row r="8" spans="1:8" x14ac:dyDescent="0.35">
      <c r="A8" t="s">
        <v>12</v>
      </c>
      <c r="B8" s="2">
        <f t="shared" si="0"/>
        <v>33334</v>
      </c>
      <c r="C8" s="3">
        <f t="shared" si="1"/>
        <v>0</v>
      </c>
      <c r="D8" s="3">
        <f t="shared" si="2"/>
        <v>-6829</v>
      </c>
      <c r="E8" s="2">
        <v>5857</v>
      </c>
      <c r="F8" s="2">
        <f t="shared" ref="F8:F18" si="3">-5857</f>
        <v>-5857</v>
      </c>
    </row>
    <row r="9" spans="1:8" x14ac:dyDescent="0.35">
      <c r="A9" t="s">
        <v>13</v>
      </c>
      <c r="B9" s="2">
        <f t="shared" si="0"/>
        <v>33334</v>
      </c>
      <c r="C9" s="3">
        <f t="shared" si="1"/>
        <v>0</v>
      </c>
      <c r="D9" s="3">
        <f t="shared" si="2"/>
        <v>-6829</v>
      </c>
      <c r="E9" s="2">
        <v>5857</v>
      </c>
      <c r="F9" s="2">
        <f t="shared" si="3"/>
        <v>-5857</v>
      </c>
    </row>
    <row r="10" spans="1:8" x14ac:dyDescent="0.35">
      <c r="A10" t="s">
        <v>14</v>
      </c>
      <c r="B10" s="2">
        <f t="shared" si="0"/>
        <v>33334</v>
      </c>
      <c r="C10" s="3">
        <f t="shared" si="1"/>
        <v>0</v>
      </c>
      <c r="D10" s="3">
        <f t="shared" si="2"/>
        <v>-6829</v>
      </c>
      <c r="E10" s="2">
        <v>5857</v>
      </c>
      <c r="F10" s="2">
        <f t="shared" si="3"/>
        <v>-5857</v>
      </c>
    </row>
    <row r="11" spans="1:8" x14ac:dyDescent="0.35">
      <c r="A11" t="s">
        <v>15</v>
      </c>
      <c r="B11" s="2">
        <f t="shared" si="0"/>
        <v>33334</v>
      </c>
      <c r="C11" s="3">
        <f t="shared" si="1"/>
        <v>0</v>
      </c>
      <c r="D11" s="3">
        <f t="shared" si="2"/>
        <v>-6829</v>
      </c>
      <c r="E11" s="2">
        <v>5857</v>
      </c>
      <c r="F11" s="2">
        <f t="shared" si="3"/>
        <v>-5857</v>
      </c>
      <c r="G11">
        <v>1</v>
      </c>
      <c r="H11">
        <v>1</v>
      </c>
    </row>
    <row r="12" spans="1:8" x14ac:dyDescent="0.35">
      <c r="A12" t="s">
        <v>16</v>
      </c>
      <c r="B12" s="2">
        <f t="shared" si="0"/>
        <v>33334</v>
      </c>
      <c r="C12" s="3">
        <f t="shared" si="1"/>
        <v>0</v>
      </c>
      <c r="D12" s="3">
        <f t="shared" si="2"/>
        <v>-6829</v>
      </c>
      <c r="E12" s="2">
        <v>5857</v>
      </c>
      <c r="F12" s="2">
        <f t="shared" si="3"/>
        <v>-5857</v>
      </c>
    </row>
    <row r="13" spans="1:8" x14ac:dyDescent="0.35">
      <c r="A13" t="s">
        <v>17</v>
      </c>
      <c r="B13" s="2">
        <f t="shared" si="0"/>
        <v>33334</v>
      </c>
      <c r="C13" s="3">
        <f t="shared" si="1"/>
        <v>0</v>
      </c>
      <c r="D13" s="3">
        <f t="shared" si="2"/>
        <v>-6829</v>
      </c>
      <c r="E13" s="2">
        <v>5857</v>
      </c>
      <c r="F13" s="2">
        <f t="shared" si="3"/>
        <v>-5857</v>
      </c>
    </row>
    <row r="14" spans="1:8" x14ac:dyDescent="0.35">
      <c r="A14" t="s">
        <v>18</v>
      </c>
      <c r="B14" s="2">
        <f t="shared" si="0"/>
        <v>33334</v>
      </c>
      <c r="C14" s="3">
        <f t="shared" si="1"/>
        <v>0</v>
      </c>
      <c r="D14" s="3">
        <f t="shared" si="2"/>
        <v>-6829</v>
      </c>
      <c r="E14" s="2">
        <v>5857</v>
      </c>
      <c r="F14" s="2">
        <f t="shared" si="3"/>
        <v>-5857</v>
      </c>
    </row>
    <row r="15" spans="1:8" x14ac:dyDescent="0.35">
      <c r="A15" t="s">
        <v>19</v>
      </c>
      <c r="B15" s="2">
        <f t="shared" si="0"/>
        <v>33334</v>
      </c>
      <c r="C15" s="3">
        <f t="shared" si="1"/>
        <v>0</v>
      </c>
      <c r="D15" s="3">
        <f t="shared" si="2"/>
        <v>-6829</v>
      </c>
      <c r="E15" s="2">
        <v>5857</v>
      </c>
      <c r="F15" s="2">
        <f t="shared" si="3"/>
        <v>-5857</v>
      </c>
    </row>
    <row r="16" spans="1:8" x14ac:dyDescent="0.35">
      <c r="A16" t="s">
        <v>20</v>
      </c>
      <c r="B16" s="2">
        <f t="shared" si="0"/>
        <v>33334</v>
      </c>
      <c r="C16" s="3">
        <f>-B16/175*SUMIFS(B$21:B$41,A$21:A$41,"&gt;="&amp;EDATE(DATEVALUE("1 "&amp;A16),-1),A$21:A$41,"&lt;="&amp;EOMONTH(DATEVALUE("1 "&amp;A16),-1))</f>
        <v>-7619.2</v>
      </c>
      <c r="D16" s="3">
        <f t="shared" si="2"/>
        <v>-5268.0857142857139</v>
      </c>
      <c r="E16" s="2">
        <v>5857</v>
      </c>
      <c r="F16" s="2">
        <f t="shared" si="3"/>
        <v>-5857</v>
      </c>
      <c r="G16">
        <v>1</v>
      </c>
      <c r="H16">
        <v>1</v>
      </c>
    </row>
    <row r="17" spans="1:6" x14ac:dyDescent="0.35">
      <c r="A17" t="s">
        <v>21</v>
      </c>
      <c r="B17" s="2">
        <f t="shared" si="0"/>
        <v>33334</v>
      </c>
      <c r="C17" s="3">
        <f t="shared" si="1"/>
        <v>0</v>
      </c>
      <c r="D17" s="3">
        <f t="shared" si="2"/>
        <v>-6829</v>
      </c>
      <c r="E17" s="2">
        <v>0</v>
      </c>
      <c r="F17" s="2">
        <v>0</v>
      </c>
    </row>
    <row r="18" spans="1:6" x14ac:dyDescent="0.35">
      <c r="A18" t="s">
        <v>22</v>
      </c>
      <c r="B18" s="2">
        <f t="shared" si="0"/>
        <v>33334</v>
      </c>
      <c r="C18" s="3">
        <f t="shared" si="1"/>
        <v>0</v>
      </c>
      <c r="D18" s="3">
        <f t="shared" si="2"/>
        <v>-6829</v>
      </c>
      <c r="E18" s="2">
        <v>0</v>
      </c>
      <c r="F18" s="2">
        <v>0</v>
      </c>
    </row>
    <row r="20" spans="1:6" x14ac:dyDescent="0.35">
      <c r="A20" t="s">
        <v>7</v>
      </c>
      <c r="B20" t="s">
        <v>10</v>
      </c>
    </row>
    <row r="21" spans="1:6" x14ac:dyDescent="0.35">
      <c r="A21" s="1">
        <v>45901</v>
      </c>
      <c r="B21">
        <v>8</v>
      </c>
    </row>
    <row r="22" spans="1:6" x14ac:dyDescent="0.35">
      <c r="A22" s="1">
        <v>45902</v>
      </c>
      <c r="B22">
        <v>8</v>
      </c>
    </row>
    <row r="23" spans="1:6" x14ac:dyDescent="0.35">
      <c r="A23" s="1">
        <v>45903</v>
      </c>
      <c r="B23">
        <v>8</v>
      </c>
    </row>
    <row r="24" spans="1:6" x14ac:dyDescent="0.35">
      <c r="A24" s="1">
        <v>45904</v>
      </c>
      <c r="B24">
        <v>8</v>
      </c>
    </row>
    <row r="25" spans="1:6" x14ac:dyDescent="0.35">
      <c r="A25" s="1">
        <v>45905</v>
      </c>
      <c r="B25">
        <v>8</v>
      </c>
    </row>
    <row r="26" spans="1:6" x14ac:dyDescent="0.35">
      <c r="A26" s="1"/>
    </row>
    <row r="27" spans="1:6" x14ac:dyDescent="0.35">
      <c r="A27" s="1"/>
    </row>
    <row r="28" spans="1:6" x14ac:dyDescent="0.35">
      <c r="A28" s="1"/>
    </row>
    <row r="29" spans="1:6" x14ac:dyDescent="0.35">
      <c r="A29" s="1"/>
    </row>
    <row r="30" spans="1:6" x14ac:dyDescent="0.35">
      <c r="A30" s="1"/>
    </row>
    <row r="31" spans="1:6" x14ac:dyDescent="0.35">
      <c r="A31" s="1"/>
    </row>
    <row r="32" spans="1:6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945650-ec40-41a9-9362-7e2addda4452}" enabled="1" method="Standard" siteId="{a33c6ac4-a52e-45c5-af07-b972df9bd0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MyrPay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Bonnedal</dc:creator>
  <cp:lastModifiedBy>Rasmus Bonnedal (External - Those AB)</cp:lastModifiedBy>
  <cp:lastPrinted>2025-10-11T19:53:31Z</cp:lastPrinted>
  <dcterms:created xsi:type="dcterms:W3CDTF">2015-06-05T18:17:20Z</dcterms:created>
  <dcterms:modified xsi:type="dcterms:W3CDTF">2025-10-18T13:15:31Z</dcterms:modified>
</cp:coreProperties>
</file>